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8_{89F8F4B5-EC0D-45BD-8B0B-CE62E28122B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7" i="1" l="1"/>
  <c r="H25" i="1"/>
  <c r="H27" i="1"/>
  <c r="M17" i="1"/>
  <c r="L17" i="1"/>
  <c r="G13" i="1"/>
  <c r="J27" i="1"/>
  <c r="I25" i="1"/>
  <c r="H30" i="1"/>
  <c r="I30" i="1"/>
  <c r="H31" i="1"/>
  <c r="I31" i="1"/>
  <c r="M20" i="1"/>
  <c r="L20" i="1"/>
  <c r="M21" i="1"/>
  <c r="L21" i="1"/>
  <c r="M22" i="1"/>
  <c r="L22" i="1"/>
  <c r="M23" i="1"/>
  <c r="L23" i="1"/>
  <c r="M19" i="1"/>
  <c r="L19" i="1"/>
  <c r="M18" i="1"/>
  <c r="L18" i="1"/>
  <c r="L24" i="1"/>
  <c r="M24" i="1"/>
  <c r="M16" i="1"/>
  <c r="L16" i="1"/>
  <c r="G12" i="1"/>
  <c r="J7" i="1"/>
  <c r="I7" i="1"/>
  <c r="H7" i="1"/>
  <c r="H5" i="1"/>
  <c r="J6" i="1"/>
  <c r="I6" i="1"/>
  <c r="H6" i="1"/>
  <c r="J5" i="1"/>
  <c r="I5" i="1"/>
  <c r="C16" i="1"/>
  <c r="P4" i="1"/>
  <c r="C18" i="1"/>
  <c r="C17" i="1"/>
  <c r="C13" i="1"/>
  <c r="C12" i="1"/>
  <c r="C11" i="1"/>
  <c r="N5" i="1"/>
  <c r="N6" i="1"/>
  <c r="O4" i="1"/>
  <c r="N4" i="1"/>
</calcChain>
</file>

<file path=xl/sharedStrings.xml><?xml version="1.0" encoding="utf-8"?>
<sst xmlns="http://schemas.openxmlformats.org/spreadsheetml/2006/main" count="84" uniqueCount="57">
  <si>
    <t>Flow velocity according to McCarroll Protocol*:</t>
  </si>
  <si>
    <t>Reqired flow velocity calculation:</t>
  </si>
  <si>
    <t>Ph. ratio</t>
  </si>
  <si>
    <t>Reagent:</t>
  </si>
  <si>
    <t>Flow, uL/min</t>
  </si>
  <si>
    <t>TFxPh.ratio</t>
  </si>
  <si>
    <t>n=3</t>
  </si>
  <si>
    <t>Optimal</t>
  </si>
  <si>
    <t>Minimum</t>
  </si>
  <si>
    <t>Maximum**</t>
  </si>
  <si>
    <t>Oil</t>
  </si>
  <si>
    <t>Beads (water)</t>
  </si>
  <si>
    <t>Cells (water)</t>
  </si>
  <si>
    <t>Total flow</t>
  </si>
  <si>
    <t>Oil (dSURF)</t>
  </si>
  <si>
    <t>384x1.86</t>
  </si>
  <si>
    <t>300x2.16</t>
  </si>
  <si>
    <t>300x1.8</t>
  </si>
  <si>
    <t>300x1.86</t>
  </si>
  <si>
    <t>450x1.86</t>
  </si>
  <si>
    <t>450x1.8</t>
  </si>
  <si>
    <t>*Original uL/h was converted to uL/min, ** Not stated</t>
  </si>
  <si>
    <t>Standard values</t>
  </si>
  <si>
    <t>Final flow velocity (rounded):</t>
  </si>
  <si>
    <t>Total flow calculation:</t>
  </si>
  <si>
    <t>Round</t>
  </si>
  <si>
    <t>Final</t>
  </si>
  <si>
    <t>-</t>
  </si>
  <si>
    <t>-&gt;</t>
  </si>
  <si>
    <t>Maximum</t>
  </si>
  <si>
    <t>384x1.8</t>
  </si>
  <si>
    <t>Phase ratio calculation*:</t>
  </si>
  <si>
    <t>*Assuming all have identical oil flow (i.e. 250 uL/min)</t>
  </si>
  <si>
    <t>Experiment setup</t>
  </si>
  <si>
    <t>Change values in red!</t>
  </si>
  <si>
    <t>Reagent consumption estimation (n=3):</t>
  </si>
  <si>
    <t>n</t>
  </si>
  <si>
    <t>Stage:</t>
  </si>
  <si>
    <t>Oil, uL</t>
  </si>
  <si>
    <t>Water, uL</t>
  </si>
  <si>
    <t>IPA, uL</t>
  </si>
  <si>
    <t>Run time, s</t>
  </si>
  <si>
    <t>Dead volume</t>
  </si>
  <si>
    <t>Overage, %</t>
  </si>
  <si>
    <t>Priming</t>
  </si>
  <si>
    <t>After stab., s</t>
  </si>
  <si>
    <t>Tests</t>
  </si>
  <si>
    <t>Gen. rate (th)</t>
  </si>
  <si>
    <t>Washing</t>
  </si>
  <si>
    <t>Gen. rate (es)</t>
  </si>
  <si>
    <t>Overall</t>
  </si>
  <si>
    <t>*VALUES ROUNDED TO HUNDREDS</t>
  </si>
  <si>
    <t>Droplets count</t>
  </si>
  <si>
    <t>Per run</t>
  </si>
  <si>
    <t>Per setup</t>
  </si>
  <si>
    <t>Theoretical</t>
  </si>
  <si>
    <t>Estimated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</si>
</sst>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164" fontId="0" fillId="0" borderId="1" xfId="0" applyNumberFormat="1" applyBorder="1"/>
    <xf numFmtId="0" fontId="0" fillId="0" borderId="5" xfId="0" applyBorder="1"/>
    <xf numFmtId="2" fontId="0" fillId="0" borderId="5" xfId="0" applyNumberFormat="1" applyBorder="1"/>
    <xf numFmtId="164" fontId="0" fillId="0" borderId="5" xfId="0" applyNumberFormat="1" applyBorder="1"/>
    <xf numFmtId="2" fontId="0" fillId="0" borderId="1" xfId="0" applyNumberFormat="1" applyBorder="1"/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3" xfId="0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2" fillId="5" borderId="1" xfId="0" applyFont="1" applyFill="1" applyBorder="1"/>
    <xf numFmtId="0" fontId="0" fillId="4" borderId="1" xfId="0" applyFill="1" applyBorder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4" fillId="0" borderId="1" xfId="0" applyFont="1" applyBorder="1"/>
    <xf numFmtId="0" fontId="0" fillId="0" borderId="5" xfId="0" applyBorder="1" applyAlignment="1">
      <alignment horizontal="center"/>
    </xf>
    <xf numFmtId="2" fontId="0" fillId="0" borderId="0" xfId="0" applyNumberFormat="1"/>
    <xf numFmtId="0" fontId="4" fillId="0" borderId="2" xfId="0" applyFont="1" applyBorder="1" applyAlignment="1">
      <alignment horizontal="right"/>
    </xf>
    <xf numFmtId="0" fontId="5" fillId="5" borderId="0" xfId="0" applyFont="1" applyFill="1"/>
    <xf numFmtId="0" fontId="3" fillId="6" borderId="1" xfId="0" applyFon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31"/>
  <sheetViews>
    <sheetView showGridLines="0" tabSelected="1" topLeftCell="B16" workbookViewId="0" xr3:uid="{AEA406A1-0E4B-5B11-9CD5-51D6E497D94C}">
      <selection activeCell="H24" sqref="H24"/>
    </sheetView>
  </sheetViews>
  <sheetFormatPr defaultRowHeight="15"/>
  <cols>
    <col min="2" max="2" width="13.140625" customWidth="1"/>
    <col min="3" max="4" width="11.28515625" customWidth="1"/>
    <col min="5" max="5" width="18" customWidth="1"/>
    <col min="6" max="6" width="11.28515625" customWidth="1"/>
    <col min="7" max="7" width="13.85546875" customWidth="1"/>
    <col min="8" max="8" width="11.5703125" customWidth="1"/>
    <col min="9" max="9" width="12.28515625" customWidth="1"/>
    <col min="10" max="10" width="11.5703125" customWidth="1"/>
    <col min="12" max="16" width="13.42578125" customWidth="1"/>
  </cols>
  <sheetData>
    <row r="2" spans="2:16">
      <c r="B2" s="9" t="s">
        <v>0</v>
      </c>
      <c r="C2" s="9"/>
      <c r="D2" s="9"/>
      <c r="E2" s="9"/>
      <c r="G2" s="6" t="s">
        <v>1</v>
      </c>
      <c r="H2" s="18"/>
      <c r="I2" s="18"/>
      <c r="J2" s="7"/>
      <c r="L2" s="37"/>
      <c r="M2" s="38"/>
      <c r="N2" s="33" t="s">
        <v>2</v>
      </c>
      <c r="O2" s="34"/>
      <c r="P2" s="35"/>
    </row>
    <row r="3" spans="2:16">
      <c r="B3" s="4" t="s">
        <v>3</v>
      </c>
      <c r="C3" s="1" t="s">
        <v>4</v>
      </c>
      <c r="D3" s="1"/>
      <c r="E3" s="1"/>
      <c r="G3" s="15" t="s">
        <v>5</v>
      </c>
      <c r="H3" s="16" t="s">
        <v>4</v>
      </c>
      <c r="I3" s="16"/>
      <c r="J3" s="16" t="s">
        <v>6</v>
      </c>
      <c r="L3" s="39"/>
      <c r="M3" s="40"/>
      <c r="N3" s="2">
        <v>1.86</v>
      </c>
      <c r="O3" s="2">
        <v>2.16</v>
      </c>
      <c r="P3" s="14">
        <v>1.8</v>
      </c>
    </row>
    <row r="4" spans="2:16">
      <c r="B4" s="4"/>
      <c r="C4" s="2" t="s">
        <v>7</v>
      </c>
      <c r="D4" s="2" t="s">
        <v>8</v>
      </c>
      <c r="E4" s="2" t="s">
        <v>9</v>
      </c>
      <c r="G4" s="17"/>
      <c r="H4" s="1" t="s">
        <v>10</v>
      </c>
      <c r="I4" s="2" t="s">
        <v>11</v>
      </c>
      <c r="J4" s="2" t="s">
        <v>12</v>
      </c>
      <c r="L4" s="41" t="s">
        <v>13</v>
      </c>
      <c r="M4" s="2">
        <v>384</v>
      </c>
      <c r="N4" s="2" t="str">
        <f>_xlfn.CONCAT($M4,"x",N$3)</f>
        <v>384x1.86</v>
      </c>
      <c r="O4" s="2" t="str">
        <f>_xlfn.CONCAT($M4,"x",O$3)</f>
        <v>384x2.16</v>
      </c>
      <c r="P4" s="2" t="str">
        <f>_xlfn.CONCAT($M4,"x",P$3)</f>
        <v>384x1.8</v>
      </c>
    </row>
    <row r="5" spans="2:16">
      <c r="B5" s="2" t="s">
        <v>14</v>
      </c>
      <c r="C5" s="2">
        <v>250</v>
      </c>
      <c r="D5" s="2">
        <v>218</v>
      </c>
      <c r="E5" s="2">
        <v>300</v>
      </c>
      <c r="G5" s="2" t="s">
        <v>15</v>
      </c>
      <c r="H5" s="14">
        <f>E11/(E16+1)*E16</f>
        <v>249.7342657342657</v>
      </c>
      <c r="I5" s="14">
        <f>E11/(E16+1)/2</f>
        <v>67.132867132867119</v>
      </c>
      <c r="J5" s="14">
        <f>E11/(E16+1)/2</f>
        <v>67.132867132867119</v>
      </c>
      <c r="L5" s="42"/>
      <c r="M5" s="2">
        <v>300</v>
      </c>
      <c r="N5" s="2" t="str">
        <f>_xlfn.CONCAT($M5,"x",N$3)</f>
        <v>300x1.86</v>
      </c>
      <c r="O5" s="3" t="s">
        <v>16</v>
      </c>
      <c r="P5" s="3" t="s">
        <v>17</v>
      </c>
    </row>
    <row r="6" spans="2:16">
      <c r="B6" s="2" t="s">
        <v>11</v>
      </c>
      <c r="C6" s="2">
        <v>67</v>
      </c>
      <c r="D6" s="2">
        <v>58</v>
      </c>
      <c r="E6" s="2">
        <v>70</v>
      </c>
      <c r="G6" s="2" t="s">
        <v>18</v>
      </c>
      <c r="H6" s="14">
        <f>E12/(E16+1)*E16</f>
        <v>195.10489510489509</v>
      </c>
      <c r="I6" s="14">
        <f>E12/(E16+1)/2</f>
        <v>52.44755244755244</v>
      </c>
      <c r="J6" s="14">
        <f>E12/(E16+1)/2</f>
        <v>52.44755244755244</v>
      </c>
      <c r="L6" s="43"/>
      <c r="M6" s="2">
        <v>450</v>
      </c>
      <c r="N6" s="2" t="str">
        <f>_xlfn.CONCAT($M6,"x",N$3)</f>
        <v>450x1.86</v>
      </c>
      <c r="O6" s="3" t="s">
        <v>19</v>
      </c>
      <c r="P6" s="3" t="s">
        <v>20</v>
      </c>
    </row>
    <row r="7" spans="2:16">
      <c r="B7" s="11" t="s">
        <v>12</v>
      </c>
      <c r="C7" s="11">
        <v>67</v>
      </c>
      <c r="D7" s="11">
        <v>58</v>
      </c>
      <c r="E7" s="11">
        <v>70</v>
      </c>
      <c r="G7" s="2" t="s">
        <v>15</v>
      </c>
      <c r="H7" s="14">
        <f>E11/(E18+1)*E18</f>
        <v>246.85714285714286</v>
      </c>
      <c r="I7" s="14">
        <f>E11/(E18+1)/2</f>
        <v>68.571428571428569</v>
      </c>
      <c r="J7" s="14">
        <f>E11/(E18+1)/2</f>
        <v>68.571428571428569</v>
      </c>
    </row>
    <row r="8" spans="2:16">
      <c r="B8" s="5" t="s">
        <v>21</v>
      </c>
      <c r="C8" s="5"/>
      <c r="D8" s="5"/>
      <c r="E8" s="5"/>
      <c r="L8" s="19" t="s">
        <v>22</v>
      </c>
      <c r="M8" s="20"/>
      <c r="N8" s="20"/>
      <c r="O8" s="21"/>
    </row>
    <row r="9" spans="2:16">
      <c r="G9" s="19" t="s">
        <v>23</v>
      </c>
      <c r="H9" s="20"/>
      <c r="I9" s="20"/>
      <c r="J9" s="21"/>
      <c r="L9" s="15" t="s">
        <v>5</v>
      </c>
      <c r="M9" s="16" t="s">
        <v>4</v>
      </c>
      <c r="N9" s="16"/>
      <c r="O9" s="16"/>
    </row>
    <row r="10" spans="2:16">
      <c r="B10" s="6" t="s">
        <v>24</v>
      </c>
      <c r="C10" s="7"/>
      <c r="D10" s="8" t="s">
        <v>25</v>
      </c>
      <c r="E10" s="8" t="s">
        <v>26</v>
      </c>
      <c r="G10" s="15" t="s">
        <v>5</v>
      </c>
      <c r="H10" s="16" t="s">
        <v>4</v>
      </c>
      <c r="I10" s="16"/>
      <c r="J10" s="16"/>
      <c r="L10" s="17"/>
      <c r="M10" s="1" t="s">
        <v>10</v>
      </c>
      <c r="N10" s="2" t="s">
        <v>11</v>
      </c>
      <c r="O10" s="2" t="s">
        <v>12</v>
      </c>
    </row>
    <row r="11" spans="2:16">
      <c r="B11" s="2" t="s">
        <v>7</v>
      </c>
      <c r="C11" s="2">
        <f>SUM(C5:C7)</f>
        <v>384</v>
      </c>
      <c r="D11" s="2" t="s">
        <v>27</v>
      </c>
      <c r="E11" s="2">
        <v>384</v>
      </c>
      <c r="G11" s="17"/>
      <c r="H11" s="28" t="s">
        <v>10</v>
      </c>
      <c r="I11" s="11" t="s">
        <v>11</v>
      </c>
      <c r="J11" s="11" t="s">
        <v>12</v>
      </c>
      <c r="L11" s="27" t="s">
        <v>15</v>
      </c>
      <c r="M11" s="27">
        <v>250</v>
      </c>
      <c r="N11" s="27">
        <v>67</v>
      </c>
      <c r="O11" s="27">
        <v>67</v>
      </c>
    </row>
    <row r="12" spans="2:16">
      <c r="B12" s="2" t="s">
        <v>8</v>
      </c>
      <c r="C12" s="2">
        <f>SUM(D5:D7)</f>
        <v>334</v>
      </c>
      <c r="D12" s="2" t="s">
        <v>28</v>
      </c>
      <c r="E12" s="2">
        <v>300</v>
      </c>
      <c r="G12" s="30" t="str">
        <f>_xlfn.CONCAT(L16,"x",ROUND(M16,2))</f>
        <v>384x1.87</v>
      </c>
      <c r="H12" s="32">
        <v>250</v>
      </c>
      <c r="I12" s="32">
        <v>67</v>
      </c>
      <c r="J12" s="32">
        <v>67</v>
      </c>
      <c r="L12" s="27" t="s">
        <v>18</v>
      </c>
      <c r="M12" s="27">
        <v>196</v>
      </c>
      <c r="N12" s="27">
        <v>52</v>
      </c>
      <c r="O12" s="27">
        <v>52</v>
      </c>
    </row>
    <row r="13" spans="2:16">
      <c r="B13" s="2" t="s">
        <v>29</v>
      </c>
      <c r="C13" s="2">
        <f>SUM(E5:E7)</f>
        <v>440</v>
      </c>
      <c r="D13" s="2" t="s">
        <v>28</v>
      </c>
      <c r="E13" s="2">
        <v>450</v>
      </c>
      <c r="G13" s="30" t="str">
        <f>_xlfn.CONCAT(L17,"x",ROUND(M17,2))</f>
        <v>384x1.87</v>
      </c>
      <c r="H13" s="32">
        <v>250</v>
      </c>
      <c r="I13" s="32">
        <v>67</v>
      </c>
      <c r="J13" s="32">
        <v>67</v>
      </c>
      <c r="L13" s="27" t="s">
        <v>30</v>
      </c>
      <c r="M13" s="27">
        <v>246</v>
      </c>
      <c r="N13" s="27">
        <v>69</v>
      </c>
      <c r="O13" s="27">
        <v>69</v>
      </c>
    </row>
    <row r="14" spans="2:16">
      <c r="G14" s="30"/>
      <c r="H14" s="32"/>
      <c r="I14" s="32"/>
      <c r="J14" s="32"/>
    </row>
    <row r="15" spans="2:16">
      <c r="B15" s="6" t="s">
        <v>31</v>
      </c>
      <c r="C15" s="7"/>
      <c r="D15" s="8" t="s">
        <v>25</v>
      </c>
      <c r="E15" s="8" t="s">
        <v>26</v>
      </c>
      <c r="G15" s="30"/>
      <c r="H15" s="32"/>
      <c r="I15" s="32"/>
      <c r="J15" s="32"/>
    </row>
    <row r="16" spans="2:16">
      <c r="B16" s="2" t="s">
        <v>7</v>
      </c>
      <c r="C16" s="10">
        <f>$C$5/(C6+C7)</f>
        <v>1.8656716417910448</v>
      </c>
      <c r="D16" s="2" t="s">
        <v>28</v>
      </c>
      <c r="E16" s="2">
        <v>1.86</v>
      </c>
      <c r="G16" s="30"/>
      <c r="H16" s="32"/>
      <c r="I16" s="32"/>
      <c r="J16" s="32"/>
      <c r="L16">
        <f>H12+I12*2</f>
        <v>384</v>
      </c>
      <c r="M16" s="29">
        <f>H12/(I12*2)</f>
        <v>1.8656716417910448</v>
      </c>
    </row>
    <row r="17" spans="2:13">
      <c r="B17" s="2" t="s">
        <v>8</v>
      </c>
      <c r="C17" s="10">
        <f>$C$5/(D6+D7)</f>
        <v>2.1551724137931036</v>
      </c>
      <c r="D17" s="2" t="s">
        <v>28</v>
      </c>
      <c r="E17" s="2">
        <v>2.16</v>
      </c>
      <c r="G17" s="30"/>
      <c r="H17" s="32"/>
      <c r="I17" s="32"/>
      <c r="J17" s="32"/>
      <c r="L17">
        <f t="shared" ref="L17:L18" si="0">H13+I13*2</f>
        <v>384</v>
      </c>
      <c r="M17" s="29">
        <f>H13/(I13*2)</f>
        <v>1.8656716417910448</v>
      </c>
    </row>
    <row r="18" spans="2:13">
      <c r="B18" s="11" t="s">
        <v>29</v>
      </c>
      <c r="C18" s="13">
        <f>$C$5/(E6+E7)</f>
        <v>1.7857142857142858</v>
      </c>
      <c r="D18" s="11" t="s">
        <v>28</v>
      </c>
      <c r="E18" s="12">
        <v>1.8</v>
      </c>
      <c r="G18" s="30"/>
      <c r="H18" s="32"/>
      <c r="I18" s="32"/>
      <c r="J18" s="32"/>
      <c r="L18">
        <f>H14+I14*2</f>
        <v>0</v>
      </c>
      <c r="M18" s="29" t="e">
        <f>H14/(I14*2)</f>
        <v>#DIV/0!</v>
      </c>
    </row>
    <row r="19" spans="2:13">
      <c r="B19" s="36" t="s">
        <v>32</v>
      </c>
      <c r="C19" s="36"/>
      <c r="D19" s="36"/>
      <c r="E19" s="36"/>
      <c r="G19" s="30"/>
      <c r="H19" s="32"/>
      <c r="I19" s="32"/>
      <c r="J19" s="32"/>
      <c r="L19">
        <f t="shared" ref="L19:L24" si="1">H15+I15*2</f>
        <v>0</v>
      </c>
      <c r="M19" s="29" t="e">
        <f t="shared" ref="M19:M24" si="2">H15/(I15*2)</f>
        <v>#DIV/0!</v>
      </c>
    </row>
    <row r="20" spans="2:13">
      <c r="L20">
        <f t="shared" si="1"/>
        <v>0</v>
      </c>
      <c r="M20" s="29" t="e">
        <f t="shared" si="2"/>
        <v>#DIV/0!</v>
      </c>
    </row>
    <row r="21" spans="2:13">
      <c r="B21" s="8" t="s">
        <v>33</v>
      </c>
      <c r="C21" s="8"/>
      <c r="E21" s="31" t="s">
        <v>34</v>
      </c>
      <c r="G21" s="19" t="s">
        <v>35</v>
      </c>
      <c r="H21" s="20"/>
      <c r="I21" s="20"/>
      <c r="J21" s="21"/>
      <c r="L21">
        <f t="shared" si="1"/>
        <v>0</v>
      </c>
      <c r="M21" s="29" t="e">
        <f t="shared" si="2"/>
        <v>#DIV/0!</v>
      </c>
    </row>
    <row r="22" spans="2:13">
      <c r="B22" s="4" t="s">
        <v>36</v>
      </c>
      <c r="C22" s="25">
        <v>3</v>
      </c>
      <c r="G22" s="2" t="s">
        <v>37</v>
      </c>
      <c r="H22" s="2" t="s">
        <v>38</v>
      </c>
      <c r="I22" s="2" t="s">
        <v>39</v>
      </c>
      <c r="J22" s="2" t="s">
        <v>40</v>
      </c>
      <c r="L22">
        <f t="shared" si="1"/>
        <v>0</v>
      </c>
      <c r="M22" s="29" t="e">
        <f t="shared" si="2"/>
        <v>#DIV/0!</v>
      </c>
    </row>
    <row r="23" spans="2:13">
      <c r="B23" s="2" t="s">
        <v>41</v>
      </c>
      <c r="C23" s="25">
        <v>60</v>
      </c>
      <c r="G23" s="2" t="s">
        <v>42</v>
      </c>
      <c r="H23" s="2">
        <v>50</v>
      </c>
      <c r="I23" s="2">
        <v>50</v>
      </c>
      <c r="J23" s="2">
        <v>30</v>
      </c>
      <c r="L23">
        <f t="shared" si="1"/>
        <v>0</v>
      </c>
      <c r="M23" s="29" t="e">
        <f t="shared" si="2"/>
        <v>#DIV/0!</v>
      </c>
    </row>
    <row r="24" spans="2:13">
      <c r="B24" s="11" t="s">
        <v>43</v>
      </c>
      <c r="C24" s="26">
        <v>30</v>
      </c>
      <c r="G24" s="2" t="s">
        <v>44</v>
      </c>
      <c r="H24" s="2">
        <v>200</v>
      </c>
      <c r="I24" s="2">
        <v>100</v>
      </c>
      <c r="J24" s="2">
        <v>200</v>
      </c>
      <c r="L24">
        <f t="shared" si="1"/>
        <v>0</v>
      </c>
      <c r="M24" s="29" t="e">
        <f t="shared" si="2"/>
        <v>#DIV/0!</v>
      </c>
    </row>
    <row r="25" spans="2:13">
      <c r="B25" s="11" t="s">
        <v>45</v>
      </c>
      <c r="C25" s="26">
        <v>15</v>
      </c>
      <c r="G25" s="2" t="s">
        <v>46</v>
      </c>
      <c r="H25" s="2">
        <f>SUM(H12:H13)*C22*C23/60</f>
        <v>1500</v>
      </c>
      <c r="I25" s="2">
        <f>SUM(I12:I19)*2*C22*C23/60</f>
        <v>804</v>
      </c>
      <c r="J25" s="2">
        <v>0</v>
      </c>
      <c r="M25" s="29"/>
    </row>
    <row r="26" spans="2:13">
      <c r="B26" s="2" t="s">
        <v>47</v>
      </c>
      <c r="C26" s="24">
        <v>4000</v>
      </c>
      <c r="G26" s="11" t="s">
        <v>48</v>
      </c>
      <c r="H26" s="11">
        <v>0</v>
      </c>
      <c r="I26" s="11">
        <v>0</v>
      </c>
      <c r="J26" s="11">
        <v>5000</v>
      </c>
      <c r="M26" s="29"/>
    </row>
    <row r="27" spans="2:13">
      <c r="B27" s="2" t="s">
        <v>49</v>
      </c>
      <c r="C27" s="24">
        <v>3500</v>
      </c>
      <c r="G27" s="22" t="s">
        <v>50</v>
      </c>
      <c r="H27" s="22">
        <f>ROUND((H25+H24+COUNT(H12:H19)*H23*C22)*(100+C24)/100,-2)</f>
        <v>2600</v>
      </c>
      <c r="I27" s="22">
        <f>ROUND((I25+I24+COUNT(I12:I19)*I23*C22)*(100+C24)/100,-2)</f>
        <v>1600</v>
      </c>
      <c r="J27" s="22">
        <f>ROUND(J26+J24+COUNT(J12:J19)*J23*C22,-2)</f>
        <v>5400</v>
      </c>
      <c r="K27" t="s">
        <v>51</v>
      </c>
    </row>
    <row r="29" spans="2:13">
      <c r="G29" s="23" t="s">
        <v>52</v>
      </c>
      <c r="H29" s="23" t="s">
        <v>53</v>
      </c>
      <c r="I29" s="23" t="s">
        <v>54</v>
      </c>
    </row>
    <row r="30" spans="2:13">
      <c r="G30" s="2" t="s">
        <v>55</v>
      </c>
      <c r="H30" s="2">
        <f>C26*C23</f>
        <v>240000</v>
      </c>
      <c r="I30" s="2">
        <f>H30*C22</f>
        <v>720000</v>
      </c>
    </row>
    <row r="31" spans="2:13">
      <c r="G31" s="2" t="s">
        <v>56</v>
      </c>
      <c r="H31" s="2">
        <f>C27*C23</f>
        <v>210000</v>
      </c>
      <c r="I31" s="2">
        <f>H31*C22</f>
        <v>630000</v>
      </c>
    </row>
  </sheetData>
  <mergeCells count="4">
    <mergeCell ref="N2:P2"/>
    <mergeCell ref="B19:E19"/>
    <mergeCell ref="L2:M3"/>
    <mergeCell ref="L4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16110086.xlsx</cp:lastModifiedBy>
  <cp:revision/>
  <dcterms:created xsi:type="dcterms:W3CDTF">2015-06-05T18:17:20Z</dcterms:created>
  <dcterms:modified xsi:type="dcterms:W3CDTF">2026-08-17T08:17:19Z</dcterms:modified>
  <cp:category/>
  <cp:contentStatus/>
</cp:coreProperties>
</file>