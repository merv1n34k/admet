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xr:revisionPtr revIDLastSave="0" documentId="11_2DDD49FD17129F577B5437D1515ED87656CDB57F" xr6:coauthVersionLast="36" xr6:coauthVersionMax="36" xr10:uidLastSave="{00000000-0000-0000-0000-000000000000}"/>
  <bookViews>
    <workbookView xWindow="0" yWindow="0" windowWidth="0" windowHeight="0" xr2:uid="{00000000-000D-0000-FFFF-FFFF00000000}"/>
  </bookViews>
  <sheets>
    <sheet name="Microfluidics iter3" sheetId="1" r:id="rId1"/>
  </sheets>
  <calcPr calcId="191028"/>
</workbook>
</file>

<file path=xl/calcChain.xml><?xml version="1.0" encoding="utf-8"?>
<calcChain xmlns="http://schemas.openxmlformats.org/spreadsheetml/2006/main">
  <c r="D51" i="1" l="1"/>
  <c r="D52" i="1"/>
  <c r="H26" i="1"/>
  <c r="D38" i="1"/>
  <c r="D37" i="1"/>
  <c r="C41" i="1"/>
  <c r="C37" i="1"/>
  <c r="D55" i="1"/>
  <c r="D56" i="1"/>
  <c r="C56" i="1"/>
  <c r="H55" i="1"/>
  <c r="C57" i="1"/>
  <c r="D57" i="1"/>
  <c r="D58" i="1"/>
  <c r="H27" i="1"/>
  <c r="C20" i="1"/>
  <c r="C25" i="1"/>
  <c r="F25" i="1"/>
  <c r="G25" i="1"/>
  <c r="H25" i="1"/>
  <c r="F27" i="1"/>
  <c r="G27" i="1"/>
  <c r="C26" i="1"/>
  <c r="F26" i="1"/>
  <c r="G26" i="1"/>
  <c r="E27" i="1"/>
  <c r="I78" i="1"/>
  <c r="G78" i="1"/>
  <c r="G66" i="1"/>
  <c r="G64" i="1"/>
  <c r="G63" i="1"/>
  <c r="C27" i="1"/>
  <c r="C21" i="1"/>
  <c r="C13" i="1"/>
  <c r="E26" i="1"/>
  <c r="C6" i="1"/>
  <c r="D43" i="1"/>
  <c r="E25" i="1"/>
  <c r="C43" i="1"/>
  <c r="D47" i="1"/>
  <c r="D42" i="1"/>
  <c r="D41" i="1"/>
  <c r="D48" i="1"/>
  <c r="D49" i="1"/>
  <c r="D50" i="1"/>
  <c r="C47" i="1"/>
  <c r="C48" i="1"/>
  <c r="C49" i="1"/>
  <c r="C50" i="1"/>
  <c r="C51" i="1"/>
  <c r="C52" i="1"/>
  <c r="G69" i="1"/>
  <c r="G70" i="1"/>
  <c r="G71" i="1"/>
  <c r="G75" i="1"/>
  <c r="G67" i="1"/>
  <c r="G68" i="1"/>
  <c r="H75" i="1"/>
  <c r="I75" i="1"/>
  <c r="H76" i="1"/>
  <c r="I76" i="1"/>
  <c r="G77" i="1"/>
  <c r="H74" i="1"/>
  <c r="I74" i="1"/>
  <c r="D62" i="1"/>
  <c r="D63" i="1"/>
  <c r="D64" i="1"/>
  <c r="D65" i="1"/>
  <c r="C66" i="1"/>
  <c r="D66" i="1"/>
  <c r="D67" i="1"/>
  <c r="G62" i="1"/>
  <c r="G57" i="1"/>
  <c r="G59" i="1"/>
  <c r="H59" i="1"/>
  <c r="H58" i="1"/>
  <c r="C58" i="1"/>
  <c r="H57" i="1"/>
  <c r="H56" i="1"/>
  <c r="C42" i="1"/>
</calcChain>
</file>

<file path=xl/sharedStrings.xml><?xml version="1.0" encoding="utf-8"?>
<sst xmlns="http://schemas.openxmlformats.org/spreadsheetml/2006/main" count="131" uniqueCount="110">
  <si>
    <t>Microfluidics full matrix test (iter3) — thermostability assay</t>
  </si>
  <si>
    <t>TABLE 1 - Experiment Parameters</t>
  </si>
  <si>
    <t>TABLE 2 - Run Matrix</t>
  </si>
  <si>
    <t>Parameter</t>
  </si>
  <si>
    <t>Value</t>
  </si>
  <si>
    <t>Unit</t>
  </si>
  <si>
    <t>Condition</t>
  </si>
  <si>
    <t>Oil</t>
  </si>
  <si>
    <t>Aqueous set</t>
  </si>
  <si>
    <t>Runs</t>
  </si>
  <si>
    <t>Aqueous stream 1 flow rate</t>
  </si>
  <si>
    <t>uL/min</t>
  </si>
  <si>
    <t>Set1.1 – S</t>
  </si>
  <si>
    <t>5% w/w FS</t>
  </si>
  <si>
    <t>KCl + MgCl2 + Tris-HCl (S)</t>
  </si>
  <si>
    <t>Aqueous stream 2 flow rate</t>
  </si>
  <si>
    <t>Set2.1 – SB</t>
  </si>
  <si>
    <t>S + 0.2 ug/uL BSA (SB)</t>
  </si>
  <si>
    <t>Total aqueous flow rate</t>
  </si>
  <si>
    <t>Oil flow rate</t>
  </si>
  <si>
    <t>Run duration</t>
  </si>
  <si>
    <t>s</t>
  </si>
  <si>
    <t>Replicates per condition (n)</t>
  </si>
  <si>
    <t>runs</t>
  </si>
  <si>
    <t>Overage factor</t>
  </si>
  <si>
    <t>x</t>
  </si>
  <si>
    <t>Dead volume - oil stream</t>
  </si>
  <si>
    <t>uL</t>
  </si>
  <si>
    <t>Dead volume - aqueous stream</t>
  </si>
  <si>
    <t>uL per stream</t>
  </si>
  <si>
    <t>Total aqueous dead volume</t>
  </si>
  <si>
    <t>HFE 7500 density</t>
  </si>
  <si>
    <t>g/mL</t>
  </si>
  <si>
    <t>008-FluoroSurfactant density (est.)</t>
  </si>
  <si>
    <t>10% oil stock concentration</t>
  </si>
  <si>
    <t>% w/w</t>
  </si>
  <si>
    <t>Working oil FS concentration</t>
  </si>
  <si>
    <t>Number of sets (conditions)</t>
  </si>
  <si>
    <t>sets</t>
  </si>
  <si>
    <t>Thermostability replicates (n)</t>
  </si>
  <si>
    <t>tubes/set</t>
  </si>
  <si>
    <t>Aqueous 1x condition volume</t>
  </si>
  <si>
    <t>uL, Aq1 + Aq2</t>
  </si>
  <si>
    <t>Oil 1x condition volume</t>
  </si>
  <si>
    <t>TABLE 3 - Visible MMx Multipliers</t>
  </si>
  <si>
    <t>Solution</t>
  </si>
  <si>
    <t>1x volume (uL)</t>
  </si>
  <si>
    <t>Conditions</t>
  </si>
  <si>
    <t>Dead/run (uL)</t>
  </si>
  <si>
    <t>Required x</t>
  </si>
  <si>
    <t>MMx x</t>
  </si>
  <si>
    <t>Final volume (uL)</t>
  </si>
  <si>
    <t>Set1.1 (S)</t>
  </si>
  <si>
    <t>Set2.1 (SB)</t>
  </si>
  <si>
    <t>5% working oil</t>
  </si>
  <si>
    <t>TABLE 4 - Aqueous Sets Composition (1x volumes, uL)</t>
  </si>
  <si>
    <t>Component</t>
  </si>
  <si>
    <t>Set1.1</t>
  </si>
  <si>
    <t>Set2.1</t>
  </si>
  <si>
    <t>Final conc</t>
  </si>
  <si>
    <t>Salts buffer 2x</t>
  </si>
  <si>
    <t>1x salts</t>
  </si>
  <si>
    <t>BSA 20 mg/mL</t>
  </si>
  <si>
    <t>0.2 ug/uL</t>
  </si>
  <si>
    <t>Glycerol</t>
  </si>
  <si>
    <t>5%</t>
  </si>
  <si>
    <t>Pluronic F68 10% stock</t>
  </si>
  <si>
    <t>2%</t>
  </si>
  <si>
    <t>Water</t>
  </si>
  <si>
    <t>Total (1x, uL)</t>
  </si>
  <si>
    <t>MMx multiplier</t>
  </si>
  <si>
    <t>TABLE 5 - Aqueous Sets Batch Volumes (MMx-scaled, uL to prepare)</t>
  </si>
  <si>
    <t>Set1.2</t>
  </si>
  <si>
    <t>Total (uL)</t>
  </si>
  <si>
    <t>TABLE 6 - 5% Working Oil MMx</t>
  </si>
  <si>
    <t>TABLE 7 - 10% Oil Stock Preparation</t>
  </si>
  <si>
    <t>Compound Name</t>
  </si>
  <si>
    <t>1x</t>
  </si>
  <si>
    <t>10% oil stock</t>
  </si>
  <si>
    <t>HFE 7500 (uL)</t>
  </si>
  <si>
    <t>HFE 7500</t>
  </si>
  <si>
    <t>008-FluoroSurfactant (mg)</t>
  </si>
  <si>
    <t>Total</t>
  </si>
  <si>
    <t>Total 10% stock target (uL)</t>
  </si>
  <si>
    <t>Surfactant uL equivalent</t>
  </si>
  <si>
    <t>TABLE 8 - Salts Buffer 2x (DropSynth: KCl + MgCl2 + Tris-HCl)</t>
  </si>
  <si>
    <t>TABLE 9 - Thermostability Assay</t>
  </si>
  <si>
    <t>1x (per 7500 uL)</t>
  </si>
  <si>
    <t>Sets</t>
  </si>
  <si>
    <t>KCl 1 M</t>
  </si>
  <si>
    <t>Replicate runs per set (n)</t>
  </si>
  <si>
    <t>MgCl2 0.5 M</t>
  </si>
  <si>
    <t>Thermostability n</t>
  </si>
  <si>
    <t>Tris-HCl 1 M</t>
  </si>
  <si>
    <t>Tube formats (+/- mineral oil)</t>
  </si>
  <si>
    <t>Tubes WITH mineral oil</t>
  </si>
  <si>
    <t>Tubes WITHOUT mineral oil</t>
  </si>
  <si>
    <t>Total tubes</t>
  </si>
  <si>
    <t>Droplets generated per run (uL)</t>
  </si>
  <si>
    <t>Thermo tubes per run (per set)</t>
  </si>
  <si>
    <t>Max droplets per tube (uL)</t>
  </si>
  <si>
    <t>Layer (dispense order, bottom -&gt; top)</t>
  </si>
  <si>
    <t>Vol/tube (uL)</t>
  </si>
  <si>
    <t>Tubes</t>
  </si>
  <si>
    <t>1. Oil fraction (bottom)</t>
  </si>
  <si>
    <t>2. Droplets fraction (top, min. oil)</t>
  </si>
  <si>
    <t>3. Mineral oil (overlay, +oil tubes)</t>
  </si>
  <si>
    <t>Mineral oil needed (+overage), uL</t>
  </si>
  <si>
    <t>Droplets needed vs generated, uL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</si>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</sst>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>
    <font>
      <sz val="11"/>
      <color theme="1"/>
      <name val="Calibri"/>
      <family val="2"/>
      <scheme val="minor"/>
    </font>
    <font>
      <b/>
      <sz val="9"/>
      <name val="Arial"/>
    </font>
    <font>
      <sz val="9"/>
      <name val="Arial"/>
    </font>
    <font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1" fontId="2" fillId="2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8"/>
  <sheetViews>
    <sheetView tabSelected="1" topLeftCell="A30" workbookViewId="0" xr3:uid="{AEA406A1-0E4B-5B11-9CD5-51D6E497D94C}">
      <selection activeCell="F49" sqref="F49"/>
    </sheetView>
  </sheetViews>
  <sheetFormatPr defaultRowHeight="15"/>
  <cols>
    <col min="1" max="1" width="17.7109375" customWidth="1"/>
    <col min="2" max="2" width="30" customWidth="1"/>
    <col min="3" max="3" width="12.7109375" customWidth="1"/>
    <col min="4" max="5" width="6.140625" customWidth="1"/>
    <col min="6" max="6" width="10.85546875" customWidth="1"/>
    <col min="7" max="7" width="15" customWidth="1"/>
    <col min="8" max="8" width="14.140625" customWidth="1"/>
    <col min="9" max="10" width="15" customWidth="1"/>
    <col min="11" max="11" width="16" customWidth="1"/>
  </cols>
  <sheetData>
    <row r="1" spans="2:9">
      <c r="B1" s="1" t="s">
        <v>0</v>
      </c>
    </row>
    <row r="2" spans="2:9">
      <c r="B2" s="1" t="s">
        <v>1</v>
      </c>
      <c r="F2" s="1" t="s">
        <v>2</v>
      </c>
    </row>
    <row r="3" spans="2:9">
      <c r="B3" s="1" t="s">
        <v>3</v>
      </c>
      <c r="C3" s="1" t="s">
        <v>4</v>
      </c>
      <c r="D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2:9">
      <c r="B4" s="2" t="s">
        <v>10</v>
      </c>
      <c r="C4" s="3">
        <v>67</v>
      </c>
      <c r="D4" s="2" t="s">
        <v>11</v>
      </c>
      <c r="F4" s="2" t="s">
        <v>12</v>
      </c>
      <c r="G4" s="2" t="s">
        <v>13</v>
      </c>
      <c r="H4" s="2" t="s">
        <v>14</v>
      </c>
      <c r="I4" s="4">
        <v>2</v>
      </c>
    </row>
    <row r="5" spans="2:9">
      <c r="B5" s="2" t="s">
        <v>15</v>
      </c>
      <c r="C5" s="3">
        <v>67</v>
      </c>
      <c r="D5" s="2" t="s">
        <v>11</v>
      </c>
      <c r="F5" s="2" t="s">
        <v>16</v>
      </c>
      <c r="G5" s="2" t="s">
        <v>13</v>
      </c>
      <c r="H5" s="2" t="s">
        <v>17</v>
      </c>
      <c r="I5" s="4">
        <v>6</v>
      </c>
    </row>
    <row r="6" spans="2:9">
      <c r="B6" s="2" t="s">
        <v>18</v>
      </c>
      <c r="C6" s="3">
        <f>C4+C5</f>
        <v>134</v>
      </c>
      <c r="D6" s="2" t="s">
        <v>11</v>
      </c>
      <c r="F6" s="2"/>
      <c r="G6" s="2"/>
      <c r="H6" s="2"/>
      <c r="I6" s="4"/>
    </row>
    <row r="7" spans="2:9">
      <c r="B7" s="2" t="s">
        <v>19</v>
      </c>
      <c r="C7" s="3">
        <v>250</v>
      </c>
      <c r="D7" s="2" t="s">
        <v>11</v>
      </c>
      <c r="F7" s="2"/>
      <c r="G7" s="2"/>
      <c r="H7" s="2"/>
      <c r="I7" s="4"/>
    </row>
    <row r="8" spans="2:9">
      <c r="B8" s="2" t="s">
        <v>20</v>
      </c>
      <c r="C8" s="3">
        <v>60</v>
      </c>
      <c r="D8" s="2" t="s">
        <v>21</v>
      </c>
      <c r="F8" s="2"/>
      <c r="G8" s="2"/>
      <c r="H8" s="2"/>
      <c r="I8" s="4"/>
    </row>
    <row r="9" spans="2:9">
      <c r="B9" s="2" t="s">
        <v>22</v>
      </c>
      <c r="C9" s="4">
        <v>3</v>
      </c>
      <c r="D9" s="2" t="s">
        <v>23</v>
      </c>
      <c r="F9" s="2"/>
      <c r="G9" s="2"/>
      <c r="H9" s="2"/>
      <c r="I9" s="4"/>
    </row>
    <row r="10" spans="2:9">
      <c r="B10" s="2" t="s">
        <v>24</v>
      </c>
      <c r="C10" s="3">
        <v>1.3</v>
      </c>
      <c r="D10" s="2" t="s">
        <v>25</v>
      </c>
      <c r="F10" s="2"/>
      <c r="G10" s="2"/>
      <c r="H10" s="2"/>
      <c r="I10" s="4"/>
    </row>
    <row r="11" spans="2:9">
      <c r="B11" s="2" t="s">
        <v>26</v>
      </c>
      <c r="C11" s="3">
        <v>50</v>
      </c>
      <c r="D11" s="2" t="s">
        <v>27</v>
      </c>
      <c r="F11" s="2"/>
      <c r="G11" s="2"/>
      <c r="H11" s="2"/>
      <c r="I11" s="4"/>
    </row>
    <row r="12" spans="2:9">
      <c r="B12" s="2" t="s">
        <v>28</v>
      </c>
      <c r="C12" s="3">
        <v>25</v>
      </c>
      <c r="D12" s="2" t="s">
        <v>29</v>
      </c>
    </row>
    <row r="13" spans="2:9">
      <c r="B13" s="2" t="s">
        <v>30</v>
      </c>
      <c r="C13" s="3">
        <f>C12*2</f>
        <v>50</v>
      </c>
      <c r="D13" s="2" t="s">
        <v>27</v>
      </c>
    </row>
    <row r="14" spans="2:9">
      <c r="B14" s="2" t="s">
        <v>31</v>
      </c>
      <c r="C14" s="3">
        <v>1.6140000000000001</v>
      </c>
      <c r="D14" s="2" t="s">
        <v>32</v>
      </c>
    </row>
    <row r="15" spans="2:9">
      <c r="B15" s="2" t="s">
        <v>33</v>
      </c>
      <c r="C15" s="3">
        <v>1.8</v>
      </c>
      <c r="D15" s="2" t="s">
        <v>32</v>
      </c>
    </row>
    <row r="16" spans="2:9">
      <c r="B16" s="2" t="s">
        <v>34</v>
      </c>
      <c r="C16" s="3">
        <v>10</v>
      </c>
      <c r="D16" s="2" t="s">
        <v>35</v>
      </c>
    </row>
    <row r="17" spans="2:8">
      <c r="B17" s="2" t="s">
        <v>36</v>
      </c>
      <c r="C17" s="3">
        <v>5</v>
      </c>
      <c r="D17" s="2" t="s">
        <v>35</v>
      </c>
    </row>
    <row r="18" spans="2:8">
      <c r="B18" s="2" t="s">
        <v>37</v>
      </c>
      <c r="C18" s="4">
        <v>2</v>
      </c>
      <c r="D18" s="2" t="s">
        <v>38</v>
      </c>
    </row>
    <row r="19" spans="2:8">
      <c r="B19" s="2" t="s">
        <v>39</v>
      </c>
      <c r="C19" s="4">
        <v>2</v>
      </c>
      <c r="D19" s="2" t="s">
        <v>40</v>
      </c>
    </row>
    <row r="20" spans="2:8">
      <c r="B20" s="2" t="s">
        <v>41</v>
      </c>
      <c r="C20" s="3">
        <f>C6*C8/60*C9</f>
        <v>402</v>
      </c>
      <c r="D20" s="2" t="s">
        <v>42</v>
      </c>
    </row>
    <row r="21" spans="2:8">
      <c r="B21" s="2" t="s">
        <v>43</v>
      </c>
      <c r="C21" s="3">
        <f>C7*C8/60*C9</f>
        <v>750</v>
      </c>
      <c r="D21" s="2" t="s">
        <v>27</v>
      </c>
    </row>
    <row r="23" spans="2:8">
      <c r="B23" s="1" t="s">
        <v>44</v>
      </c>
    </row>
    <row r="24" spans="2:8">
      <c r="B24" s="1" t="s">
        <v>45</v>
      </c>
      <c r="C24" s="1" t="s">
        <v>46</v>
      </c>
      <c r="D24" s="1" t="s">
        <v>47</v>
      </c>
      <c r="E24" s="1" t="s">
        <v>48</v>
      </c>
      <c r="F24" s="1" t="s">
        <v>49</v>
      </c>
      <c r="G24" s="1" t="s">
        <v>50</v>
      </c>
      <c r="H24" s="1" t="s">
        <v>51</v>
      </c>
    </row>
    <row r="25" spans="2:8">
      <c r="B25" s="2" t="s">
        <v>52</v>
      </c>
      <c r="C25" s="3">
        <f>$C$20</f>
        <v>402</v>
      </c>
      <c r="D25" s="9">
        <v>0</v>
      </c>
      <c r="E25" s="3">
        <f>$C$13</f>
        <v>50</v>
      </c>
      <c r="F25" s="5">
        <f>D25*(1+$C$9*E25/C25)</f>
        <v>0</v>
      </c>
      <c r="G25" s="5">
        <f>F25*$C$10</f>
        <v>0</v>
      </c>
      <c r="H25" s="10">
        <f>C25*G25</f>
        <v>0</v>
      </c>
    </row>
    <row r="26" spans="2:8">
      <c r="B26" s="2" t="s">
        <v>53</v>
      </c>
      <c r="C26" s="3">
        <f>$C$20</f>
        <v>402</v>
      </c>
      <c r="D26" s="9">
        <v>2</v>
      </c>
      <c r="E26" s="3">
        <f>$C$13</f>
        <v>50</v>
      </c>
      <c r="F26" s="5">
        <f>D26*(1+$C$9*E26/C26)</f>
        <v>2.7462686567164178</v>
      </c>
      <c r="G26" s="5">
        <f>F26*$C$10</f>
        <v>3.5701492537313433</v>
      </c>
      <c r="H26" s="10">
        <f>C26*G26</f>
        <v>1435.2</v>
      </c>
    </row>
    <row r="27" spans="2:8">
      <c r="B27" s="2" t="s">
        <v>54</v>
      </c>
      <c r="C27" s="3">
        <f>$C$21</f>
        <v>750</v>
      </c>
      <c r="D27" s="9">
        <v>2</v>
      </c>
      <c r="E27" s="3">
        <f>C11</f>
        <v>50</v>
      </c>
      <c r="F27" s="5">
        <f>D27*(1+$C$9*E27/C27)</f>
        <v>2.4</v>
      </c>
      <c r="G27" s="5">
        <f>F27*$C$10</f>
        <v>3.12</v>
      </c>
      <c r="H27" s="10">
        <f>C27*G27</f>
        <v>2340</v>
      </c>
    </row>
    <row r="28" spans="2:8">
      <c r="B28" s="2"/>
      <c r="C28" s="3"/>
      <c r="D28" s="4"/>
      <c r="E28" s="3"/>
      <c r="F28" s="5"/>
      <c r="G28" s="5"/>
    </row>
    <row r="29" spans="2:8">
      <c r="B29" s="2"/>
      <c r="C29" s="3"/>
      <c r="E29" s="3"/>
      <c r="F29" s="5"/>
      <c r="G29" s="5"/>
    </row>
    <row r="30" spans="2:8">
      <c r="B30" s="2"/>
      <c r="C30" s="3"/>
      <c r="E30" s="3"/>
      <c r="F30" s="5"/>
      <c r="G30" s="5"/>
    </row>
    <row r="31" spans="2:8">
      <c r="B31" s="2"/>
      <c r="C31" s="3"/>
      <c r="E31" s="3"/>
      <c r="F31" s="5"/>
      <c r="G31" s="5"/>
    </row>
    <row r="32" spans="2:8">
      <c r="B32" s="2"/>
      <c r="C32" s="3"/>
      <c r="E32" s="3"/>
      <c r="F32" s="5"/>
      <c r="G32" s="5"/>
    </row>
    <row r="33" spans="2:7">
      <c r="B33" s="2"/>
      <c r="C33" s="3"/>
      <c r="E33" s="3"/>
      <c r="F33" s="5"/>
      <c r="G33" s="5"/>
    </row>
    <row r="35" spans="2:7">
      <c r="B35" s="1" t="s">
        <v>55</v>
      </c>
    </row>
    <row r="36" spans="2:7">
      <c r="B36" s="1" t="s">
        <v>56</v>
      </c>
      <c r="C36" s="1" t="s">
        <v>57</v>
      </c>
      <c r="D36" s="1" t="s">
        <v>58</v>
      </c>
      <c r="E36" s="1" t="s">
        <v>59</v>
      </c>
    </row>
    <row r="37" spans="2:7">
      <c r="B37" s="2" t="s">
        <v>60</v>
      </c>
      <c r="C37" s="3">
        <f>$C$20/2</f>
        <v>201</v>
      </c>
      <c r="D37" s="3">
        <f>$C$20/2</f>
        <v>201</v>
      </c>
      <c r="E37" s="2" t="s">
        <v>61</v>
      </c>
    </row>
    <row r="38" spans="2:7">
      <c r="B38" s="2" t="s">
        <v>62</v>
      </c>
      <c r="C38" s="3">
        <v>0</v>
      </c>
      <c r="D38" s="3">
        <f>$C$20*1%</f>
        <v>4.0200000000000005</v>
      </c>
      <c r="E38" s="2" t="s">
        <v>63</v>
      </c>
    </row>
    <row r="39" spans="2:7">
      <c r="B39" s="2" t="s">
        <v>64</v>
      </c>
      <c r="C39" s="3">
        <v>0</v>
      </c>
      <c r="D39" s="3">
        <v>0</v>
      </c>
      <c r="E39" s="2" t="s">
        <v>65</v>
      </c>
    </row>
    <row r="40" spans="2:7">
      <c r="B40" s="2" t="s">
        <v>66</v>
      </c>
      <c r="C40" s="3">
        <v>0</v>
      </c>
      <c r="D40" s="3">
        <v>0</v>
      </c>
      <c r="E40" s="2" t="s">
        <v>67</v>
      </c>
    </row>
    <row r="41" spans="2:7">
      <c r="B41" s="2" t="s">
        <v>68</v>
      </c>
      <c r="C41" s="3">
        <f>$C$20-SUM(C37:C40)</f>
        <v>201</v>
      </c>
      <c r="D41" s="3">
        <f>$C$20-SUM(D37:D40)</f>
        <v>196.98</v>
      </c>
    </row>
    <row r="42" spans="2:7">
      <c r="B42" s="1" t="s">
        <v>69</v>
      </c>
      <c r="C42" s="6">
        <f>$C$20</f>
        <v>402</v>
      </c>
      <c r="D42" s="6">
        <f>$C$20</f>
        <v>402</v>
      </c>
    </row>
    <row r="43" spans="2:7">
      <c r="B43" s="1" t="s">
        <v>70</v>
      </c>
      <c r="C43" s="7">
        <f>G25</f>
        <v>0</v>
      </c>
      <c r="D43" s="7">
        <f>G26</f>
        <v>3.5701492537313433</v>
      </c>
    </row>
    <row r="45" spans="2:7">
      <c r="B45" s="1" t="s">
        <v>71</v>
      </c>
    </row>
    <row r="46" spans="2:7">
      <c r="B46" s="1" t="s">
        <v>56</v>
      </c>
      <c r="C46" s="1" t="s">
        <v>57</v>
      </c>
      <c r="D46" s="1" t="s">
        <v>72</v>
      </c>
    </row>
    <row r="47" spans="2:7">
      <c r="B47" s="2" t="s">
        <v>60</v>
      </c>
      <c r="C47" s="3">
        <f>IF((C37*C$43)=0,0,IF(ABS(C37*C$43)&lt;20,ROUND(C37*C$43,1),IF(ABS(C37*C$43)&lt;200,ROUND((C37*C$43)*2,0)/2,IF(ABS(C37*C$43)&lt;1000,ROUND(C37*C$43,0),ROUND((C37*C$43)/5,0)*5))))</f>
        <v>0</v>
      </c>
      <c r="D47" s="3">
        <f>IF((D37*D$43)=0,0,IF(ABS(D37*D$43)&lt;20,ROUND(D37*D$43,1),IF(ABS(D37*D$43)&lt;200,ROUND((D37*D$43)*2,0)/2,IF(ABS(D37*D$43)&lt;1000,ROUND(D37*D$43,0),ROUND((D37*D$43)/5,0)*5))))</f>
        <v>718</v>
      </c>
    </row>
    <row r="48" spans="2:7">
      <c r="B48" s="2" t="s">
        <v>62</v>
      </c>
      <c r="C48" s="3">
        <f>IF((C38*C$43)=0,0,IF(ABS(C38*C$43)&lt;20,ROUND(C38*C$43,1),IF(ABS(C38*C$43)&lt;200,ROUND((C38*C$43)*2,0)/2,IF(ABS(C38*C$43)&lt;1000,ROUND(C38*C$43,0),ROUND((C38*C$43)/5,0)*5))))</f>
        <v>0</v>
      </c>
      <c r="D48" s="3">
        <f>IF((D38*D$43)=0,0,IF(ABS(D38*D$43)&lt;20,ROUND(D38*D$43,1),IF(ABS(D38*D$43)&lt;200,ROUND((D38*D$43)*2,0)/2,IF(ABS(D38*D$43)&lt;1000,ROUND(D38*D$43,0),ROUND((D38*D$43)/5,0)*5))))</f>
        <v>14.4</v>
      </c>
    </row>
    <row r="49" spans="2:8">
      <c r="B49" s="2" t="s">
        <v>64</v>
      </c>
      <c r="C49" s="3">
        <f>IF((C39*C$43)=0,0,IF(ABS(C39*C$43)&lt;20,ROUND(C39*C$43,1),IF(ABS(C39*C$43)&lt;200,ROUND((C39*C$43)*2,0)/2,IF(ABS(C39*C$43)&lt;1000,ROUND(C39*C$43,0),ROUND((C39*C$43)/5,0)*5))))</f>
        <v>0</v>
      </c>
      <c r="D49" s="3">
        <f>IF((D39*D$43)=0,0,IF(ABS(D39*D$43)&lt;20,ROUND(D39*D$43,1),IF(ABS(D39*D$43)&lt;200,ROUND((D39*D$43)*2,0)/2,IF(ABS(D39*D$43)&lt;1000,ROUND(D39*D$43,0),ROUND((D39*D$43)/5,0)*5))))</f>
        <v>0</v>
      </c>
    </row>
    <row r="50" spans="2:8">
      <c r="B50" s="2" t="s">
        <v>66</v>
      </c>
      <c r="C50" s="3">
        <f>IF((C40*C$43)=0,0,IF(ABS(C40*C$43)&lt;20,ROUND(C40*C$43,1),IF(ABS(C40*C$43)&lt;200,ROUND((C40*C$43)*2,0)/2,IF(ABS(C40*C$43)&lt;1000,ROUND(C40*C$43,0),ROUND((C40*C$43)/5,0)*5))))</f>
        <v>0</v>
      </c>
      <c r="D50" s="3">
        <f>IF((D40*D$43)=0,0,IF(ABS(D40*D$43)&lt;20,ROUND(D40*D$43,1),IF(ABS(D40*D$43)&lt;200,ROUND((D40*D$43)*2,0)/2,IF(ABS(D40*D$43)&lt;1000,ROUND(D40*D$43,0),ROUND((D40*D$43)/5,0)*5))))</f>
        <v>0</v>
      </c>
    </row>
    <row r="51" spans="2:8">
      <c r="B51" s="2" t="s">
        <v>68</v>
      </c>
      <c r="C51" s="3">
        <f>IF((C41*C$43)=0,0,IF(ABS(C41*C$43)&lt;20,ROUND(C41*C$43,1),IF(ABS(C41*C$43)&lt;200,ROUND((C41*C$43)*2,0)/2,IF(ABS(C41*C$43)&lt;1000,ROUND(C41*C$43,0),ROUND((C41*C$43)/5,0)*5))))</f>
        <v>0</v>
      </c>
      <c r="D51" s="3">
        <f>IF((D41*D$43)=0,0,IF(ABS(D41*D$43)&lt;20,ROUND(D41*D$43,1),IF(ABS(D41*D$43)&lt;200,ROUND((D41*D$43)*2,0)/2,IF(ABS(D41*D$43)&lt;1000,ROUND(D41*D$43,0),ROUND((D41*D$43)/5,0)*5))))</f>
        <v>703</v>
      </c>
    </row>
    <row r="52" spans="2:8">
      <c r="B52" s="1" t="s">
        <v>73</v>
      </c>
      <c r="C52" s="6">
        <f>SUM(C47:C51)</f>
        <v>0</v>
      </c>
      <c r="D52" s="6">
        <f>SUM(D47:D51)</f>
        <v>1435.4</v>
      </c>
    </row>
    <row r="54" spans="2:8">
      <c r="B54" s="1" t="s">
        <v>74</v>
      </c>
      <c r="F54" s="1" t="s">
        <v>75</v>
      </c>
    </row>
    <row r="55" spans="2:8">
      <c r="B55" s="1" t="s">
        <v>76</v>
      </c>
      <c r="C55" s="1" t="s">
        <v>77</v>
      </c>
      <c r="D55" s="7">
        <f>G27</f>
        <v>3.12</v>
      </c>
      <c r="F55" s="1" t="s">
        <v>76</v>
      </c>
      <c r="G55" s="1" t="s">
        <v>77</v>
      </c>
      <c r="H55" s="7">
        <f>ROUNDUP(D56/G58,1)</f>
        <v>1.2000000000000002</v>
      </c>
    </row>
    <row r="56" spans="2:8">
      <c r="B56" s="2" t="s">
        <v>78</v>
      </c>
      <c r="C56" s="3">
        <f>$C$21*($C$17/100)/($C$16/100)</f>
        <v>375</v>
      </c>
      <c r="D56" s="3">
        <f>IF((C56*$D$55)=0,0,IF(ABS(C56*$D$55)&lt;20,ROUND(C56*$D$55,1),IF(ABS(C56*$D$55)&lt;200,ROUND((C56*$D$55)*2,0)/2,IF(ABS(C56*$D$55)&lt;1000,ROUND(C56*$D$55,0),ROUND((C56*$D$55)/5,0)*5))))</f>
        <v>1170</v>
      </c>
      <c r="F56" s="2" t="s">
        <v>79</v>
      </c>
      <c r="G56" s="3">
        <v>900</v>
      </c>
      <c r="H56" s="3">
        <f>IF((G56*$H$55)=0,0,IF(ABS(G56*$H$55)&lt;20,ROUND(G56*$H$55,1),IF(ABS(G56*$H$55)&lt;200,ROUND((G56*$H$55)*2,0)/2,IF(ABS(G56*$H$55)&lt;1000,ROUND(G56*$H$55,0),ROUND((G56*$H$55)/5,0)*5))))</f>
        <v>1080</v>
      </c>
    </row>
    <row r="57" spans="2:8">
      <c r="B57" s="2" t="s">
        <v>80</v>
      </c>
      <c r="C57" s="3">
        <f>C58-C56</f>
        <v>375</v>
      </c>
      <c r="D57" s="3">
        <f>IF((C57*$D$55)=0,0,IF(ABS(C57*$D$55)&lt;20,ROUND(C57*$D$55,1),IF(ABS(C57*$D$55)&lt;200,ROUND((C57*$D$55)*2,0)/2,IF(ABS(C57*$D$55)&lt;1000,ROUND(C57*$D$55,0),ROUND((C57*$D$55)/5,0)*5))))</f>
        <v>1170</v>
      </c>
      <c r="F57" s="2" t="s">
        <v>81</v>
      </c>
      <c r="G57" s="3">
        <f>G56/9*$C$14</f>
        <v>161.4</v>
      </c>
      <c r="H57" s="3">
        <f>ROUND(G57*$H$55,1)</f>
        <v>193.7</v>
      </c>
    </row>
    <row r="58" spans="2:8">
      <c r="B58" s="1" t="s">
        <v>82</v>
      </c>
      <c r="C58" s="6">
        <f>$C$21</f>
        <v>750</v>
      </c>
      <c r="D58" s="6">
        <f>SUM(D56:D57)</f>
        <v>2340</v>
      </c>
      <c r="F58" s="1" t="s">
        <v>83</v>
      </c>
      <c r="G58" s="6">
        <v>1000</v>
      </c>
      <c r="H58" s="6">
        <f>IF((G58*$H$55)=0,0,IF(ABS(G58*$H$55)&lt;20,ROUND(G58*$H$55,1),IF(ABS(G58*$H$55)&lt;200,ROUND((G58*$H$55)*2,0)/2,IF(ABS(G58*$H$55)&lt;1000,ROUND(G58*$H$55,0),ROUND((G58*$H$55)/5,0)*5))))</f>
        <v>1200</v>
      </c>
    </row>
    <row r="59" spans="2:8">
      <c r="F59" s="2" t="s">
        <v>84</v>
      </c>
      <c r="G59" s="3">
        <f>G57/$C$15</f>
        <v>89.666666666666671</v>
      </c>
      <c r="H59" s="3">
        <f>IF((G59*$H$55)=0,0,IF(ABS(G59*$H$55)&lt;20,ROUND(G59*$H$55,1),IF(ABS(G59*$H$55)&lt;200,ROUND((G59*$H$55)*2,0)/2,IF(ABS(G59*$H$55)&lt;1000,ROUND(G59*$H$55,0),ROUND((G59*$H$55)/5,0)*5))))</f>
        <v>107.5</v>
      </c>
    </row>
    <row r="61" spans="2:8">
      <c r="B61" s="1" t="s">
        <v>85</v>
      </c>
      <c r="F61" s="1" t="s">
        <v>86</v>
      </c>
    </row>
    <row r="62" spans="2:8">
      <c r="B62" s="1" t="s">
        <v>76</v>
      </c>
      <c r="C62" s="1" t="s">
        <v>87</v>
      </c>
      <c r="D62" s="7">
        <f>ROUNDUP(SUM(C47:D47)/C67,1)</f>
        <v>0.1</v>
      </c>
      <c r="F62" s="2" t="s">
        <v>88</v>
      </c>
      <c r="G62" s="4">
        <f>$C$18</f>
        <v>2</v>
      </c>
    </row>
    <row r="63" spans="2:8">
      <c r="B63" s="2" t="s">
        <v>89</v>
      </c>
      <c r="C63" s="3">
        <v>750</v>
      </c>
      <c r="D63" s="3">
        <f>IF((C63*$D$62)=0,0,IF(ABS(C63*$D$62)&lt;20,ROUND(C63*$D$62,1),IF(ABS(C63*$D$62)&lt;200,ROUND((C63*$D$62)*2,0)/2,IF(ABS(C63*$D$62)&lt;1000,ROUND(C63*$D$62,0),ROUND((C63*$D$62)/5,0)*5))))</f>
        <v>75</v>
      </c>
      <c r="F63" s="2" t="s">
        <v>90</v>
      </c>
      <c r="G63" s="4">
        <f>$C$9</f>
        <v>3</v>
      </c>
    </row>
    <row r="64" spans="2:8">
      <c r="B64" s="2" t="s">
        <v>91</v>
      </c>
      <c r="C64" s="3">
        <v>4.5</v>
      </c>
      <c r="D64" s="3">
        <f>IF((C64*$D$62)=0,0,IF(ABS(C64*$D$62)&lt;20,ROUND(C64*$D$62,1),IF(ABS(C64*$D$62)&lt;200,ROUND((C64*$D$62)*2,0)/2,IF(ABS(C64*$D$62)&lt;1000,ROUND(C64*$D$62,0),ROUND((C64*$D$62)/5,0)*5))))</f>
        <v>0.5</v>
      </c>
      <c r="F64" s="2" t="s">
        <v>92</v>
      </c>
      <c r="G64" s="4">
        <f>$C$19</f>
        <v>2</v>
      </c>
    </row>
    <row r="65" spans="2:9">
      <c r="B65" s="2" t="s">
        <v>93</v>
      </c>
      <c r="C65" s="3">
        <v>150</v>
      </c>
      <c r="D65" s="3">
        <f>IF((C65*$D$62)=0,0,IF(ABS(C65*$D$62)&lt;20,ROUND(C65*$D$62,1),IF(ABS(C65*$D$62)&lt;200,ROUND((C65*$D$62)*2,0)/2,IF(ABS(C65*$D$62)&lt;1000,ROUND(C65*$D$62,0),ROUND((C65*$D$62)/5,0)*5))))</f>
        <v>15</v>
      </c>
      <c r="F65" s="2" t="s">
        <v>94</v>
      </c>
      <c r="G65" s="4">
        <v>2</v>
      </c>
    </row>
    <row r="66" spans="2:9">
      <c r="B66" s="2" t="s">
        <v>68</v>
      </c>
      <c r="C66" s="3">
        <f>C67-SUM(C63:C65)</f>
        <v>6595.5</v>
      </c>
      <c r="D66" s="3">
        <f>IF((C66*$D$62)=0,0,IF(ABS(C66*$D$62)&lt;20,ROUND(C66*$D$62,1),IF(ABS(C66*$D$62)&lt;200,ROUND((C66*$D$62)*2,0)/2,IF(ABS(C66*$D$62)&lt;1000,ROUND(C66*$D$62,0),ROUND((C66*$D$62)/5,0)*5))))</f>
        <v>660</v>
      </c>
      <c r="F66" s="2" t="s">
        <v>95</v>
      </c>
      <c r="G66" s="8">
        <f>$C$18*$C$9*$C$19</f>
        <v>12</v>
      </c>
    </row>
    <row r="67" spans="2:9">
      <c r="B67" s="1" t="s">
        <v>82</v>
      </c>
      <c r="C67" s="6">
        <v>7500</v>
      </c>
      <c r="D67" s="6">
        <f>SUM(D63:D66)</f>
        <v>750.5</v>
      </c>
      <c r="F67" s="2" t="s">
        <v>96</v>
      </c>
      <c r="G67" s="8">
        <f>$C$18*$C$9*$C$19</f>
        <v>12</v>
      </c>
    </row>
    <row r="68" spans="2:9">
      <c r="F68" s="2" t="s">
        <v>97</v>
      </c>
      <c r="G68" s="8">
        <f>G66+G67</f>
        <v>24</v>
      </c>
    </row>
    <row r="69" spans="2:9">
      <c r="F69" s="2" t="s">
        <v>98</v>
      </c>
      <c r="G69" s="3">
        <f>$C$6*$C$8/60</f>
        <v>134</v>
      </c>
    </row>
    <row r="70" spans="2:9">
      <c r="F70" s="2" t="s">
        <v>99</v>
      </c>
      <c r="G70" s="4">
        <f>$C$19*G65</f>
        <v>4</v>
      </c>
    </row>
    <row r="71" spans="2:9">
      <c r="F71" s="2" t="s">
        <v>100</v>
      </c>
      <c r="G71" s="6">
        <f>ROUNDDOWN(G69/G70,0)</f>
        <v>33</v>
      </c>
    </row>
    <row r="73" spans="2:9">
      <c r="F73" s="1" t="s">
        <v>101</v>
      </c>
      <c r="G73" s="1" t="s">
        <v>102</v>
      </c>
      <c r="H73" s="1" t="s">
        <v>103</v>
      </c>
      <c r="I73" s="1" t="s">
        <v>73</v>
      </c>
    </row>
    <row r="74" spans="2:9">
      <c r="F74" s="2" t="s">
        <v>104</v>
      </c>
      <c r="G74" s="3">
        <v>20</v>
      </c>
      <c r="H74" s="4">
        <f>G68</f>
        <v>24</v>
      </c>
      <c r="I74" s="3">
        <f>G74*H74</f>
        <v>480</v>
      </c>
    </row>
    <row r="75" spans="2:9">
      <c r="F75" s="2" t="s">
        <v>105</v>
      </c>
      <c r="G75" s="3">
        <f>G71</f>
        <v>33</v>
      </c>
      <c r="H75" s="4">
        <f>G68</f>
        <v>24</v>
      </c>
      <c r="I75" s="3">
        <f>G75*H75</f>
        <v>792</v>
      </c>
    </row>
    <row r="76" spans="2:9">
      <c r="F76" s="2" t="s">
        <v>106</v>
      </c>
      <c r="G76" s="3">
        <v>30</v>
      </c>
      <c r="H76" s="4">
        <f>G66</f>
        <v>12</v>
      </c>
      <c r="I76" s="3">
        <f>G76*H76</f>
        <v>360</v>
      </c>
    </row>
    <row r="77" spans="2:9">
      <c r="F77" s="1" t="s">
        <v>107</v>
      </c>
      <c r="G77" s="6">
        <f>ROUND(I76*$C$10,-1)</f>
        <v>470</v>
      </c>
    </row>
    <row r="78" spans="2:9">
      <c r="F78" s="2" t="s">
        <v>108</v>
      </c>
      <c r="G78" s="3">
        <f>I75</f>
        <v>792</v>
      </c>
      <c r="H78" s="2" t="s">
        <v>109</v>
      </c>
      <c r="I78" s="3">
        <f>G69*$C$18*$C$9</f>
        <v>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recipe.xlsx</cp:lastModifiedBy>
  <cp:revision/>
  <dcterms:created xsi:type="dcterms:W3CDTF">2026-07-06T06:33:21Z</dcterms:created>
  <dcterms:modified xsi:type="dcterms:W3CDTF">2026-08-18T12:39:11Z</dcterms:modified>
  <cp:category/>
  <cp:contentStatus/>
</cp:coreProperties>
</file>